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xcel 30 days challange\"/>
    </mc:Choice>
  </mc:AlternateContent>
  <xr:revisionPtr revIDLastSave="0" documentId="13_ncr:1_{6131F752-CEF7-44F8-85FC-869DBA546204}" xr6:coauthVersionLast="47" xr6:coauthVersionMax="47" xr10:uidLastSave="{00000000-0000-0000-0000-000000000000}"/>
  <bookViews>
    <workbookView xWindow="-120" yWindow="-120" windowWidth="21840" windowHeight="13140" tabRatio="500" activeTab="2" xr2:uid="{00000000-000D-0000-FFFF-FFFF00000000}"/>
  </bookViews>
  <sheets>
    <sheet name="City_Tier_Master" sheetId="1" r:id="rId1"/>
    <sheet name="Expense_Claims" sheetId="2" r:id="rId2"/>
    <sheet name="Reimbursement_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3" l="1"/>
  <c r="C28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0" i="3"/>
  <c r="B10" i="3"/>
  <c r="D9" i="3"/>
  <c r="B9" i="3"/>
  <c r="D8" i="3"/>
  <c r="B8" i="3"/>
  <c r="D7" i="3"/>
  <c r="B7" i="3"/>
  <c r="D6" i="3"/>
  <c r="B6" i="3"/>
  <c r="D5" i="3"/>
  <c r="B5" i="3"/>
  <c r="K19" i="2"/>
  <c r="L19" i="2" s="1"/>
  <c r="F19" i="2"/>
  <c r="K18" i="2"/>
  <c r="L18" i="2" s="1"/>
  <c r="N18" i="2" s="1"/>
  <c r="E20" i="3" s="1"/>
  <c r="F18" i="2"/>
  <c r="K17" i="2"/>
  <c r="L17" i="2" s="1"/>
  <c r="F17" i="2"/>
  <c r="K16" i="2"/>
  <c r="L16" i="2" s="1"/>
  <c r="N16" i="2" s="1"/>
  <c r="E24" i="3" s="1"/>
  <c r="F16" i="2"/>
  <c r="K15" i="2"/>
  <c r="L15" i="2" s="1"/>
  <c r="F15" i="2"/>
  <c r="K14" i="2"/>
  <c r="L14" i="2" s="1"/>
  <c r="F14" i="2"/>
  <c r="K13" i="2"/>
  <c r="L13" i="2" s="1"/>
  <c r="F13" i="2"/>
  <c r="K12" i="2"/>
  <c r="L12" i="2" s="1"/>
  <c r="N12" i="2" s="1"/>
  <c r="F12" i="2"/>
  <c r="K11" i="2"/>
  <c r="L11" i="2" s="1"/>
  <c r="F11" i="2"/>
  <c r="K10" i="2"/>
  <c r="L10" i="2" s="1"/>
  <c r="F10" i="2"/>
  <c r="K9" i="2"/>
  <c r="L9" i="2" s="1"/>
  <c r="F9" i="2"/>
  <c r="K8" i="2"/>
  <c r="L8" i="2" s="1"/>
  <c r="N8" i="2" s="1"/>
  <c r="F8" i="2"/>
  <c r="K7" i="2"/>
  <c r="L7" i="2" s="1"/>
  <c r="F7" i="2"/>
  <c r="K6" i="2"/>
  <c r="L6" i="2" s="1"/>
  <c r="M6" i="2" s="1"/>
  <c r="F6" i="2"/>
  <c r="K5" i="2"/>
  <c r="L5" i="2" s="1"/>
  <c r="F5" i="2"/>
  <c r="K4" i="2"/>
  <c r="L4" i="2" s="1"/>
  <c r="N4" i="2" s="1"/>
  <c r="F4" i="2"/>
  <c r="M10" i="2" l="1"/>
  <c r="N10" i="2"/>
  <c r="M14" i="2"/>
  <c r="N14" i="2"/>
  <c r="N6" i="2"/>
  <c r="M9" i="2"/>
  <c r="N9" i="2"/>
  <c r="E19" i="3" s="1"/>
  <c r="E16" i="3"/>
  <c r="N15" i="2"/>
  <c r="M15" i="2"/>
  <c r="M5" i="2"/>
  <c r="N5" i="2"/>
  <c r="E5" i="3" s="1"/>
  <c r="N11" i="2"/>
  <c r="M11" i="2"/>
  <c r="C8" i="3" s="1"/>
  <c r="M17" i="2"/>
  <c r="N17" i="2"/>
  <c r="E18" i="3" s="1"/>
  <c r="N7" i="2"/>
  <c r="E15" i="3" s="1"/>
  <c r="M7" i="2"/>
  <c r="C6" i="3" s="1"/>
  <c r="M13" i="2"/>
  <c r="N13" i="2"/>
  <c r="E17" i="3" s="1"/>
  <c r="N19" i="2"/>
  <c r="E23" i="3" s="1"/>
  <c r="M19" i="2"/>
  <c r="M18" i="2"/>
  <c r="M4" i="2"/>
  <c r="M8" i="2"/>
  <c r="M12" i="2"/>
  <c r="M16" i="2"/>
  <c r="E10" i="3"/>
  <c r="C10" i="3" l="1"/>
  <c r="E22" i="3"/>
  <c r="E8" i="3"/>
  <c r="E7" i="3"/>
  <c r="E6" i="3"/>
  <c r="C9" i="3"/>
  <c r="C7" i="3"/>
  <c r="C31" i="3"/>
  <c r="E21" i="3"/>
  <c r="E9" i="3"/>
  <c r="C30" i="3"/>
  <c r="C32" i="3" s="1"/>
  <c r="C5" i="3"/>
</calcChain>
</file>

<file path=xl/sharedStrings.xml><?xml version="1.0" encoding="utf-8"?>
<sst xmlns="http://schemas.openxmlformats.org/spreadsheetml/2006/main" count="168" uniqueCount="83">
  <si>
    <t>Multi-City Travel &amp; Expense Reimbursement Tracker — City Allowance Policy</t>
  </si>
  <si>
    <t>Per-day/per-night reimbursement limits vary by City Tier. This table drives every claim's allowed limit automatically.</t>
  </si>
  <si>
    <t>City</t>
  </si>
  <si>
    <t>Tier</t>
  </si>
  <si>
    <t>Hotel Limit / Night (₹)</t>
  </si>
  <si>
    <t>Food Limit / Day (₹)</t>
  </si>
  <si>
    <t>Local Conveyance Limit / Day (₹)</t>
  </si>
  <si>
    <t>Mumbai</t>
  </si>
  <si>
    <t>Tier 1</t>
  </si>
  <si>
    <t>Delhi</t>
  </si>
  <si>
    <t>Bangalore</t>
  </si>
  <si>
    <t>Chennai</t>
  </si>
  <si>
    <t>Hyderabad</t>
  </si>
  <si>
    <t>Pune</t>
  </si>
  <si>
    <t>Ahmedabad</t>
  </si>
  <si>
    <t>Tier 2</t>
  </si>
  <si>
    <t>Jaipur</t>
  </si>
  <si>
    <t>Lucknow</t>
  </si>
  <si>
    <t>Chandigarh</t>
  </si>
  <si>
    <t>Kochi</t>
  </si>
  <si>
    <t>Bhopal</t>
  </si>
  <si>
    <t>Tier 3</t>
  </si>
  <si>
    <t>Nagpur</t>
  </si>
  <si>
    <t>Coimbatore</t>
  </si>
  <si>
    <t>Surat</t>
  </si>
  <si>
    <t>Tier 1 = Metro cities | Tier 2 = Major state capitals | Tier 3 = Smaller cities</t>
  </si>
  <si>
    <t>Travel &amp; Expense Claim Log</t>
  </si>
  <si>
    <t>S.No</t>
  </si>
  <si>
    <t>Claim ID</t>
  </si>
  <si>
    <t>Employee ID</t>
  </si>
  <si>
    <t>Employee Name</t>
  </si>
  <si>
    <t>Category</t>
  </si>
  <si>
    <t>Date</t>
  </si>
  <si>
    <t>No. of Days/Nights</t>
  </si>
  <si>
    <t>Claimed Amount (₹)</t>
  </si>
  <si>
    <t>Allowed Limit (per unit) (₹)</t>
  </si>
  <si>
    <t>Max Allowed (₹)</t>
  </si>
  <si>
    <t>Status</t>
  </si>
  <si>
    <t>Excess Amount (₹)</t>
  </si>
  <si>
    <t>EXP-2001</t>
  </si>
  <si>
    <t>EMP-301</t>
  </si>
  <si>
    <t>Rahul Sharma</t>
  </si>
  <si>
    <t>Hotel</t>
  </si>
  <si>
    <t>EXP-2002</t>
  </si>
  <si>
    <t>Food</t>
  </si>
  <si>
    <t>EXP-2003</t>
  </si>
  <si>
    <t>EMP-302</t>
  </si>
  <si>
    <t>Sneha Reddy</t>
  </si>
  <si>
    <t>Local Conveyance</t>
  </si>
  <si>
    <t>EXP-2004</t>
  </si>
  <si>
    <t>EXP-2005</t>
  </si>
  <si>
    <t>EMP-303</t>
  </si>
  <si>
    <t>Amit Joshi</t>
  </si>
  <si>
    <t>EXP-2006</t>
  </si>
  <si>
    <t>EXP-2007</t>
  </si>
  <si>
    <t>EMP-304</t>
  </si>
  <si>
    <t>Kavya Menon</t>
  </si>
  <si>
    <t>EXP-2008</t>
  </si>
  <si>
    <t>EXP-2009</t>
  </si>
  <si>
    <t>EMP-305</t>
  </si>
  <si>
    <t>Vikram Singh</t>
  </si>
  <si>
    <t>EXP-2010</t>
  </si>
  <si>
    <t>EXP-2011</t>
  </si>
  <si>
    <t>EMP-306</t>
  </si>
  <si>
    <t>Ishita Rao</t>
  </si>
  <si>
    <t>EXP-2012</t>
  </si>
  <si>
    <t>EXP-2013</t>
  </si>
  <si>
    <t>EXP-2014</t>
  </si>
  <si>
    <t>EXP-2015</t>
  </si>
  <si>
    <t>EXP-2016</t>
  </si>
  <si>
    <t>Employee-Wise Claims Summary</t>
  </si>
  <si>
    <t>Total Claims</t>
  </si>
  <si>
    <t>Flagged Claims</t>
  </si>
  <si>
    <t>Total Claimed (₹)</t>
  </si>
  <si>
    <t>Total Excess (₹)</t>
  </si>
  <si>
    <t>City-Wise Claims Summary</t>
  </si>
  <si>
    <t>Overall Snapshot</t>
  </si>
  <si>
    <t>Total Claims Submitted</t>
  </si>
  <si>
    <t>Total Claimed Amount (₹)</t>
  </si>
  <si>
    <t>Total Flagged (Excess) Claims</t>
  </si>
  <si>
    <t>Flag Rate %</t>
  </si>
  <si>
    <t>Total Pending Excess (₹)</t>
  </si>
  <si>
    <t>Reimbursement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</si>
</sst>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808080"/>
      <name val="Cambria"/>
      <charset val="1"/>
    </font>
    <font>
      <b/>
      <sz val="11"/>
      <color rgb="FFFFFFFF"/>
      <name val="Arial"/>
      <charset val="1"/>
    </font>
    <font>
      <b/>
      <sz val="12"/>
      <color rgb="FF1F4E78"/>
      <name val="Cambria"/>
      <charset val="1"/>
    </font>
    <font>
      <b/>
      <sz val="11"/>
      <name val="Cambria"/>
      <charset val="1"/>
    </font>
    <font>
      <b/>
      <sz val="11"/>
      <name val="Cambria"/>
      <family val="1"/>
    </font>
    <font>
      <b/>
      <sz val="18"/>
      <color rgb="FF1F4E78"/>
      <name val="Arial"/>
      <family val="2"/>
    </font>
    <font>
      <b/>
      <sz val="12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ityTierMaster" displayName="CityTierMaster" ref="A3:E18" totalsRowShown="0">
  <autoFilter ref="A3:E18" xr:uid="{00000000-0009-0000-0100-000002000000}"/>
  <tableColumns count="5">
    <tableColumn id="1" xr3:uid="{00000000-0010-0000-0000-000001000000}" name="City"/>
    <tableColumn id="2" xr3:uid="{00000000-0010-0000-0000-000002000000}" name="Tier"/>
    <tableColumn id="3" xr3:uid="{00000000-0010-0000-0000-000003000000}" name="Hotel Limit / Night (₹)"/>
    <tableColumn id="4" xr3:uid="{00000000-0010-0000-0000-000004000000}" name="Food Limit / Day (₹)"/>
    <tableColumn id="5" xr3:uid="{00000000-0010-0000-0000-000005000000}" name="Local Conveyance Limit / Day (₹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xpenseClaims" displayName="ExpenseClaims" ref="A3:N19" totalsRowShown="0">
  <autoFilter ref="A3:N19" xr:uid="{00000000-0009-0000-0100-000004000000}"/>
  <tableColumns count="14">
    <tableColumn id="1" xr3:uid="{00000000-0010-0000-0100-000001000000}" name="S.No"/>
    <tableColumn id="2" xr3:uid="{00000000-0010-0000-0100-000002000000}" name="Claim ID"/>
    <tableColumn id="3" xr3:uid="{00000000-0010-0000-0100-000003000000}" name="Employee ID"/>
    <tableColumn id="4" xr3:uid="{00000000-0010-0000-0100-000004000000}" name="Employee Name"/>
    <tableColumn id="5" xr3:uid="{00000000-0010-0000-0100-000005000000}" name="City"/>
    <tableColumn id="6" xr3:uid="{00000000-0010-0000-0100-000006000000}" name="Tier"/>
    <tableColumn id="7" xr3:uid="{00000000-0010-0000-0100-000007000000}" name="Category"/>
    <tableColumn id="8" xr3:uid="{00000000-0010-0000-0100-000008000000}" name="Date"/>
    <tableColumn id="9" xr3:uid="{00000000-0010-0000-0100-000009000000}" name="No. of Days/Nights"/>
    <tableColumn id="10" xr3:uid="{00000000-0010-0000-0100-00000A000000}" name="Claimed Amount (₹)"/>
    <tableColumn id="11" xr3:uid="{00000000-0010-0000-0100-00000B000000}" name="Allowed Limit (per unit) (₹)"/>
    <tableColumn id="12" xr3:uid="{00000000-0010-0000-0100-00000C000000}" name="Max Allowed (₹)"/>
    <tableColumn id="13" xr3:uid="{00000000-0010-0000-0100-00000D000000}" name="Status"/>
    <tableColumn id="14" xr3:uid="{00000000-0010-0000-0100-00000E000000}" name="Excess Amount (₹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ityClaimSummary" displayName="CityClaimSummary" ref="A14:E24" totalsRowShown="0">
  <autoFilter ref="A14:E24" xr:uid="{00000000-0009-0000-0100-000001000000}"/>
  <tableColumns count="5">
    <tableColumn id="1" xr3:uid="{00000000-0010-0000-0200-000001000000}" name="City"/>
    <tableColumn id="2" xr3:uid="{00000000-0010-0000-0200-000002000000}" name="Tier"/>
    <tableColumn id="3" xr3:uid="{00000000-0010-0000-0200-000003000000}" name="Total Claims"/>
    <tableColumn id="4" xr3:uid="{00000000-0010-0000-0200-000004000000}" name="Total Claimed (₹)"/>
    <tableColumn id="5" xr3:uid="{00000000-0010-0000-0200-000005000000}" name="Total Excess (₹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EmployeeSummary" displayName="EmployeeSummary" ref="A4:E10" totalsRowShown="0">
  <autoFilter ref="A4:E10" xr:uid="{00000000-0009-0000-0100-000003000000}"/>
  <tableColumns count="5">
    <tableColumn id="1" xr3:uid="{00000000-0010-0000-0300-000001000000}" name="Employee Name"/>
    <tableColumn id="2" xr3:uid="{00000000-0010-0000-0300-000002000000}" name="Total Claims"/>
    <tableColumn id="3" xr3:uid="{00000000-0010-0000-0300-000003000000}" name="Flagged Claims"/>
    <tableColumn id="4" xr3:uid="{00000000-0010-0000-0300-000004000000}" name="Total Claimed (₹)"/>
    <tableColumn id="5" xr3:uid="{00000000-0010-0000-0300-000005000000}" name="Total Excess (₹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B9958A1-2975-424A-93A5-D9E9756321C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cbed9e1e-664a-4fe7-a377-7e87d6fa3ff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8EBFE68-06E0-494F-A2CC-3DD18CB02249}">
  <we:reference id="wa200008989" version="1.0.0.4" store="en-US" storeType="OMEX"/>
  <we:alternateReferences>
    <we:reference id="wa200008989" version="1.0.0.4" store="wa200008989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activeCell="A22" sqref="A22"/>
    </sheetView>
  </sheetViews>
  <sheetFormatPr defaultColWidth="8.7109375" defaultRowHeight="15" x14ac:dyDescent="0.25"/>
  <cols>
    <col min="1" max="1" width="16.5703125" customWidth="1"/>
    <col min="2" max="2" width="12.42578125" customWidth="1"/>
    <col min="3" max="3" width="20" customWidth="1"/>
    <col min="4" max="4" width="18" customWidth="1"/>
    <col min="5" max="5" width="26" customWidth="1"/>
  </cols>
  <sheetData>
    <row r="1" spans="1:5" ht="18" customHeight="1" x14ac:dyDescent="0.25">
      <c r="A1" s="9" t="s">
        <v>0</v>
      </c>
      <c r="B1" s="9"/>
      <c r="C1" s="9"/>
      <c r="D1" s="9"/>
      <c r="E1" s="9"/>
    </row>
    <row r="2" spans="1:5" x14ac:dyDescent="0.25">
      <c r="A2" s="9"/>
      <c r="B2" s="9"/>
      <c r="C2" s="9"/>
      <c r="D2" s="9"/>
      <c r="E2" s="9"/>
    </row>
    <row r="3" spans="1:5" ht="3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t="s">
        <v>7</v>
      </c>
      <c r="B4" t="s">
        <v>8</v>
      </c>
      <c r="C4" s="3">
        <v>4500</v>
      </c>
      <c r="D4" s="3">
        <v>1200</v>
      </c>
      <c r="E4" s="3">
        <v>800</v>
      </c>
    </row>
    <row r="5" spans="1:5" x14ac:dyDescent="0.25">
      <c r="A5" t="s">
        <v>9</v>
      </c>
      <c r="B5" t="s">
        <v>8</v>
      </c>
      <c r="C5" s="3">
        <v>4500</v>
      </c>
      <c r="D5" s="3">
        <v>1200</v>
      </c>
      <c r="E5" s="3">
        <v>800</v>
      </c>
    </row>
    <row r="6" spans="1:5" x14ac:dyDescent="0.25">
      <c r="A6" t="s">
        <v>10</v>
      </c>
      <c r="B6" t="s">
        <v>8</v>
      </c>
      <c r="C6" s="3">
        <v>4500</v>
      </c>
      <c r="D6" s="3">
        <v>1200</v>
      </c>
      <c r="E6" s="3">
        <v>800</v>
      </c>
    </row>
    <row r="7" spans="1:5" x14ac:dyDescent="0.25">
      <c r="A7" t="s">
        <v>11</v>
      </c>
      <c r="B7" t="s">
        <v>8</v>
      </c>
      <c r="C7" s="3">
        <v>4200</v>
      </c>
      <c r="D7" s="3">
        <v>1100</v>
      </c>
      <c r="E7" s="3">
        <v>750</v>
      </c>
    </row>
    <row r="8" spans="1:5" x14ac:dyDescent="0.25">
      <c r="A8" t="s">
        <v>12</v>
      </c>
      <c r="B8" t="s">
        <v>8</v>
      </c>
      <c r="C8" s="3">
        <v>4200</v>
      </c>
      <c r="D8" s="3">
        <v>1100</v>
      </c>
      <c r="E8" s="3">
        <v>750</v>
      </c>
    </row>
    <row r="9" spans="1:5" x14ac:dyDescent="0.25">
      <c r="A9" t="s">
        <v>13</v>
      </c>
      <c r="B9" t="s">
        <v>8</v>
      </c>
      <c r="C9" s="3">
        <v>4000</v>
      </c>
      <c r="D9" s="3">
        <v>1000</v>
      </c>
      <c r="E9" s="3">
        <v>700</v>
      </c>
    </row>
    <row r="10" spans="1:5" x14ac:dyDescent="0.25">
      <c r="A10" t="s">
        <v>14</v>
      </c>
      <c r="B10" t="s">
        <v>15</v>
      </c>
      <c r="C10" s="3">
        <v>3000</v>
      </c>
      <c r="D10" s="3">
        <v>900</v>
      </c>
      <c r="E10" s="3">
        <v>600</v>
      </c>
    </row>
    <row r="11" spans="1:5" x14ac:dyDescent="0.25">
      <c r="A11" t="s">
        <v>16</v>
      </c>
      <c r="B11" t="s">
        <v>15</v>
      </c>
      <c r="C11" s="3">
        <v>3000</v>
      </c>
      <c r="D11" s="3">
        <v>900</v>
      </c>
      <c r="E11" s="3">
        <v>600</v>
      </c>
    </row>
    <row r="12" spans="1:5" x14ac:dyDescent="0.25">
      <c r="A12" t="s">
        <v>17</v>
      </c>
      <c r="B12" t="s">
        <v>15</v>
      </c>
      <c r="C12" s="3">
        <v>2800</v>
      </c>
      <c r="D12" s="3">
        <v>850</v>
      </c>
      <c r="E12" s="3">
        <v>550</v>
      </c>
    </row>
    <row r="13" spans="1:5" x14ac:dyDescent="0.25">
      <c r="A13" t="s">
        <v>18</v>
      </c>
      <c r="B13" t="s">
        <v>15</v>
      </c>
      <c r="C13" s="3">
        <v>3000</v>
      </c>
      <c r="D13" s="3">
        <v>900</v>
      </c>
      <c r="E13" s="3">
        <v>600</v>
      </c>
    </row>
    <row r="14" spans="1:5" x14ac:dyDescent="0.25">
      <c r="A14" t="s">
        <v>19</v>
      </c>
      <c r="B14" t="s">
        <v>15</v>
      </c>
      <c r="C14" s="3">
        <v>2800</v>
      </c>
      <c r="D14" s="3">
        <v>850</v>
      </c>
      <c r="E14" s="3">
        <v>550</v>
      </c>
    </row>
    <row r="15" spans="1:5" x14ac:dyDescent="0.25">
      <c r="A15" t="s">
        <v>20</v>
      </c>
      <c r="B15" t="s">
        <v>21</v>
      </c>
      <c r="C15" s="3">
        <v>2000</v>
      </c>
      <c r="D15" s="3">
        <v>700</v>
      </c>
      <c r="E15" s="3">
        <v>450</v>
      </c>
    </row>
    <row r="16" spans="1:5" x14ac:dyDescent="0.25">
      <c r="A16" t="s">
        <v>22</v>
      </c>
      <c r="B16" t="s">
        <v>21</v>
      </c>
      <c r="C16" s="3">
        <v>2000</v>
      </c>
      <c r="D16" s="3">
        <v>700</v>
      </c>
      <c r="E16" s="3">
        <v>450</v>
      </c>
    </row>
    <row r="17" spans="1:5" x14ac:dyDescent="0.25">
      <c r="A17" t="s">
        <v>23</v>
      </c>
      <c r="B17" t="s">
        <v>21</v>
      </c>
      <c r="C17" s="3">
        <v>2000</v>
      </c>
      <c r="D17" s="3">
        <v>700</v>
      </c>
      <c r="E17" s="3">
        <v>450</v>
      </c>
    </row>
    <row r="18" spans="1:5" x14ac:dyDescent="0.25">
      <c r="A18" t="s">
        <v>24</v>
      </c>
      <c r="B18" t="s">
        <v>21</v>
      </c>
      <c r="C18" s="3">
        <v>1800</v>
      </c>
      <c r="D18" s="3">
        <v>650</v>
      </c>
      <c r="E18" s="3">
        <v>400</v>
      </c>
    </row>
    <row r="20" spans="1:5" x14ac:dyDescent="0.25">
      <c r="A20" s="8" t="s">
        <v>1</v>
      </c>
      <c r="B20" s="8"/>
      <c r="C20" s="8"/>
      <c r="D20" s="8"/>
      <c r="E20" s="8"/>
    </row>
    <row r="21" spans="1:5" x14ac:dyDescent="0.25">
      <c r="A21" s="8" t="s">
        <v>25</v>
      </c>
      <c r="B21" s="8"/>
      <c r="C21" s="8"/>
      <c r="D21" s="8"/>
      <c r="E21" s="8"/>
    </row>
  </sheetData>
  <mergeCells count="3">
    <mergeCell ref="A21:E21"/>
    <mergeCell ref="A20:E20"/>
    <mergeCell ref="A1:E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Normal="100" workbookViewId="0">
      <pane ySplit="3" topLeftCell="A4" activePane="bottomLeft" state="frozen"/>
      <selection pane="bottomLeft" activeCell="I23" sqref="I23"/>
    </sheetView>
  </sheetViews>
  <sheetFormatPr defaultColWidth="8.7109375" defaultRowHeight="15" x14ac:dyDescent="0.25"/>
  <cols>
    <col min="1" max="1" width="6" customWidth="1"/>
    <col min="2" max="2" width="11" customWidth="1"/>
    <col min="3" max="3" width="12" customWidth="1"/>
    <col min="4" max="4" width="16" customWidth="1"/>
    <col min="5" max="5" width="12" customWidth="1"/>
    <col min="6" max="6" width="8" customWidth="1"/>
    <col min="7" max="7" width="17" customWidth="1"/>
    <col min="8" max="8" width="12" customWidth="1"/>
    <col min="9" max="10" width="16" customWidth="1"/>
    <col min="11" max="11" width="18" customWidth="1"/>
    <col min="12" max="12" width="14" customWidth="1"/>
    <col min="13" max="13" width="17" customWidth="1"/>
    <col min="14" max="14" width="15" customWidth="1"/>
  </cols>
  <sheetData>
    <row r="1" spans="1:14" ht="18" customHeight="1" x14ac:dyDescent="0.25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30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2</v>
      </c>
      <c r="F3" s="2" t="s">
        <v>3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>
        <v>1</v>
      </c>
      <c r="B4" t="s">
        <v>39</v>
      </c>
      <c r="C4" t="s">
        <v>40</v>
      </c>
      <c r="D4" t="s">
        <v>41</v>
      </c>
      <c r="E4" t="s">
        <v>7</v>
      </c>
      <c r="F4" t="str">
        <f>VLOOKUP(E4,City_Tier_Master!$A$4:$E$18,2,FALSE())</f>
        <v>Tier 1</v>
      </c>
      <c r="G4" t="s">
        <v>42</v>
      </c>
      <c r="H4" s="4">
        <v>46193</v>
      </c>
      <c r="I4">
        <v>2</v>
      </c>
      <c r="J4" s="3">
        <v>8500</v>
      </c>
      <c r="K4" s="3">
        <f>IF(G4="Hotel",VLOOKUP(E4,City_Tier_Master!$A$4:$E$18,3,FALSE()),IF(G4="Food",VLOOKUP(E4,City_Tier_Master!$A$4:$E$18,4,FALSE()),VLOOKUP(E4,City_Tier_Master!$A$4:$E$18,5,FALSE())))</f>
        <v>4500</v>
      </c>
      <c r="L4" s="3">
        <f t="shared" ref="L4:L19" si="0">K4*I4</f>
        <v>9000</v>
      </c>
      <c r="M4" t="str">
        <f t="shared" ref="M4:M19" si="1">IF(J4&lt;=L4,"Within Limit","Excess - Flagged")</f>
        <v>Within Limit</v>
      </c>
      <c r="N4" s="3">
        <f t="shared" ref="N4:N19" si="2">IF(J4&gt;L4,J4-L4,0)</f>
        <v>0</v>
      </c>
    </row>
    <row r="5" spans="1:14" x14ac:dyDescent="0.25">
      <c r="A5">
        <v>2</v>
      </c>
      <c r="B5" t="s">
        <v>43</v>
      </c>
      <c r="C5" t="s">
        <v>40</v>
      </c>
      <c r="D5" t="s">
        <v>41</v>
      </c>
      <c r="E5" t="s">
        <v>7</v>
      </c>
      <c r="F5" t="str">
        <f>VLOOKUP(E5,City_Tier_Master!$A$4:$E$18,2,FALSE())</f>
        <v>Tier 1</v>
      </c>
      <c r="G5" t="s">
        <v>44</v>
      </c>
      <c r="H5" s="4">
        <v>46193</v>
      </c>
      <c r="I5">
        <v>3</v>
      </c>
      <c r="J5" s="3">
        <v>4200</v>
      </c>
      <c r="K5" s="3">
        <f>IF(G5="Hotel",VLOOKUP(E5,City_Tier_Master!$A$4:$E$18,3,FALSE()),IF(G5="Food",VLOOKUP(E5,City_Tier_Master!$A$4:$E$18,4,FALSE()),VLOOKUP(E5,City_Tier_Master!$A$4:$E$18,5,FALSE())))</f>
        <v>1200</v>
      </c>
      <c r="L5" s="3">
        <f t="shared" si="0"/>
        <v>3600</v>
      </c>
      <c r="M5" t="str">
        <f t="shared" si="1"/>
        <v>Excess - Flagged</v>
      </c>
      <c r="N5" s="3">
        <f t="shared" si="2"/>
        <v>600</v>
      </c>
    </row>
    <row r="6" spans="1:14" x14ac:dyDescent="0.25">
      <c r="A6">
        <v>3</v>
      </c>
      <c r="B6" t="s">
        <v>45</v>
      </c>
      <c r="C6" t="s">
        <v>46</v>
      </c>
      <c r="D6" t="s">
        <v>47</v>
      </c>
      <c r="E6" t="s">
        <v>10</v>
      </c>
      <c r="F6" t="str">
        <f>VLOOKUP(E6,City_Tier_Master!$A$4:$E$18,2,FALSE())</f>
        <v>Tier 1</v>
      </c>
      <c r="G6" t="s">
        <v>48</v>
      </c>
      <c r="H6" s="4">
        <v>46195</v>
      </c>
      <c r="I6">
        <v>4</v>
      </c>
      <c r="J6" s="3">
        <v>2900</v>
      </c>
      <c r="K6" s="3">
        <f>IF(G6="Hotel",VLOOKUP(E6,City_Tier_Master!$A$4:$E$18,3,FALSE()),IF(G6="Food",VLOOKUP(E6,City_Tier_Master!$A$4:$E$18,4,FALSE()),VLOOKUP(E6,City_Tier_Master!$A$4:$E$18,5,FALSE())))</f>
        <v>800</v>
      </c>
      <c r="L6" s="3">
        <f t="shared" si="0"/>
        <v>3200</v>
      </c>
      <c r="M6" t="str">
        <f t="shared" si="1"/>
        <v>Within Limit</v>
      </c>
      <c r="N6" s="3">
        <f t="shared" si="2"/>
        <v>0</v>
      </c>
    </row>
    <row r="7" spans="1:14" x14ac:dyDescent="0.25">
      <c r="A7">
        <v>4</v>
      </c>
      <c r="B7" t="s">
        <v>49</v>
      </c>
      <c r="C7" t="s">
        <v>46</v>
      </c>
      <c r="D7" t="s">
        <v>47</v>
      </c>
      <c r="E7" t="s">
        <v>10</v>
      </c>
      <c r="F7" t="str">
        <f>VLOOKUP(E7,City_Tier_Master!$A$4:$E$18,2,FALSE())</f>
        <v>Tier 1</v>
      </c>
      <c r="G7" t="s">
        <v>42</v>
      </c>
      <c r="H7" s="4">
        <v>46195</v>
      </c>
      <c r="I7">
        <v>3</v>
      </c>
      <c r="J7" s="3">
        <v>15000</v>
      </c>
      <c r="K7" s="3">
        <f>IF(G7="Hotel",VLOOKUP(E7,City_Tier_Master!$A$4:$E$18,3,FALSE()),IF(G7="Food",VLOOKUP(E7,City_Tier_Master!$A$4:$E$18,4,FALSE()),VLOOKUP(E7,City_Tier_Master!$A$4:$E$18,5,FALSE())))</f>
        <v>4500</v>
      </c>
      <c r="L7" s="3">
        <f t="shared" si="0"/>
        <v>13500</v>
      </c>
      <c r="M7" t="str">
        <f t="shared" si="1"/>
        <v>Excess - Flagged</v>
      </c>
      <c r="N7" s="3">
        <f t="shared" si="2"/>
        <v>1500</v>
      </c>
    </row>
    <row r="8" spans="1:14" x14ac:dyDescent="0.25">
      <c r="A8">
        <v>5</v>
      </c>
      <c r="B8" t="s">
        <v>50</v>
      </c>
      <c r="C8" t="s">
        <v>51</v>
      </c>
      <c r="D8" t="s">
        <v>52</v>
      </c>
      <c r="E8" t="s">
        <v>16</v>
      </c>
      <c r="F8" t="str">
        <f>VLOOKUP(E8,City_Tier_Master!$A$4:$E$18,2,FALSE())</f>
        <v>Tier 2</v>
      </c>
      <c r="G8" t="s">
        <v>44</v>
      </c>
      <c r="H8" s="4">
        <v>46197</v>
      </c>
      <c r="I8">
        <v>5</v>
      </c>
      <c r="J8" s="3">
        <v>4000</v>
      </c>
      <c r="K8" s="3">
        <f>IF(G8="Hotel",VLOOKUP(E8,City_Tier_Master!$A$4:$E$18,3,FALSE()),IF(G8="Food",VLOOKUP(E8,City_Tier_Master!$A$4:$E$18,4,FALSE()),VLOOKUP(E8,City_Tier_Master!$A$4:$E$18,5,FALSE())))</f>
        <v>900</v>
      </c>
      <c r="L8" s="3">
        <f t="shared" si="0"/>
        <v>4500</v>
      </c>
      <c r="M8" t="str">
        <f t="shared" si="1"/>
        <v>Within Limit</v>
      </c>
      <c r="N8" s="3">
        <f t="shared" si="2"/>
        <v>0</v>
      </c>
    </row>
    <row r="9" spans="1:14" x14ac:dyDescent="0.25">
      <c r="A9">
        <v>6</v>
      </c>
      <c r="B9" t="s">
        <v>53</v>
      </c>
      <c r="C9" t="s">
        <v>51</v>
      </c>
      <c r="D9" t="s">
        <v>52</v>
      </c>
      <c r="E9" t="s">
        <v>16</v>
      </c>
      <c r="F9" t="str">
        <f>VLOOKUP(E9,City_Tier_Master!$A$4:$E$18,2,FALSE())</f>
        <v>Tier 2</v>
      </c>
      <c r="G9" t="s">
        <v>42</v>
      </c>
      <c r="H9" s="4">
        <v>46197</v>
      </c>
      <c r="I9">
        <v>2</v>
      </c>
      <c r="J9" s="3">
        <v>7000</v>
      </c>
      <c r="K9" s="3">
        <f>IF(G9="Hotel",VLOOKUP(E9,City_Tier_Master!$A$4:$E$18,3,FALSE()),IF(G9="Food",VLOOKUP(E9,City_Tier_Master!$A$4:$E$18,4,FALSE()),VLOOKUP(E9,City_Tier_Master!$A$4:$E$18,5,FALSE())))</f>
        <v>3000</v>
      </c>
      <c r="L9" s="3">
        <f t="shared" si="0"/>
        <v>6000</v>
      </c>
      <c r="M9" t="str">
        <f t="shared" si="1"/>
        <v>Excess - Flagged</v>
      </c>
      <c r="N9" s="3">
        <f t="shared" si="2"/>
        <v>1000</v>
      </c>
    </row>
    <row r="10" spans="1:14" x14ac:dyDescent="0.25">
      <c r="A10">
        <v>7</v>
      </c>
      <c r="B10" t="s">
        <v>54</v>
      </c>
      <c r="C10" t="s">
        <v>55</v>
      </c>
      <c r="D10" t="s">
        <v>56</v>
      </c>
      <c r="E10" t="s">
        <v>20</v>
      </c>
      <c r="F10" t="str">
        <f>VLOOKUP(E10,City_Tier_Master!$A$4:$E$18,2,FALSE())</f>
        <v>Tier 3</v>
      </c>
      <c r="G10" t="s">
        <v>48</v>
      </c>
      <c r="H10" s="4">
        <v>46198</v>
      </c>
      <c r="I10">
        <v>3</v>
      </c>
      <c r="J10" s="3">
        <v>1200</v>
      </c>
      <c r="K10" s="3">
        <f>IF(G10="Hotel",VLOOKUP(E10,City_Tier_Master!$A$4:$E$18,3,FALSE()),IF(G10="Food",VLOOKUP(E10,City_Tier_Master!$A$4:$E$18,4,FALSE()),VLOOKUP(E10,City_Tier_Master!$A$4:$E$18,5,FALSE())))</f>
        <v>450</v>
      </c>
      <c r="L10" s="3">
        <f t="shared" si="0"/>
        <v>1350</v>
      </c>
      <c r="M10" t="str">
        <f t="shared" si="1"/>
        <v>Within Limit</v>
      </c>
      <c r="N10" s="3">
        <f t="shared" si="2"/>
        <v>0</v>
      </c>
    </row>
    <row r="11" spans="1:14" x14ac:dyDescent="0.25">
      <c r="A11">
        <v>8</v>
      </c>
      <c r="B11" t="s">
        <v>57</v>
      </c>
      <c r="C11" t="s">
        <v>55</v>
      </c>
      <c r="D11" t="s">
        <v>56</v>
      </c>
      <c r="E11" t="s">
        <v>20</v>
      </c>
      <c r="F11" t="str">
        <f>VLOOKUP(E11,City_Tier_Master!$A$4:$E$18,2,FALSE())</f>
        <v>Tier 3</v>
      </c>
      <c r="G11" t="s">
        <v>42</v>
      </c>
      <c r="H11" s="4">
        <v>46198</v>
      </c>
      <c r="I11">
        <v>2</v>
      </c>
      <c r="J11" s="3">
        <v>5000</v>
      </c>
      <c r="K11" s="3">
        <f>IF(G11="Hotel",VLOOKUP(E11,City_Tier_Master!$A$4:$E$18,3,FALSE()),IF(G11="Food",VLOOKUP(E11,City_Tier_Master!$A$4:$E$18,4,FALSE()),VLOOKUP(E11,City_Tier_Master!$A$4:$E$18,5,FALSE())))</f>
        <v>2000</v>
      </c>
      <c r="L11" s="3">
        <f t="shared" si="0"/>
        <v>4000</v>
      </c>
      <c r="M11" t="str">
        <f t="shared" si="1"/>
        <v>Excess - Flagged</v>
      </c>
      <c r="N11" s="3">
        <f t="shared" si="2"/>
        <v>1000</v>
      </c>
    </row>
    <row r="12" spans="1:14" x14ac:dyDescent="0.25">
      <c r="A12">
        <v>9</v>
      </c>
      <c r="B12" t="s">
        <v>58</v>
      </c>
      <c r="C12" t="s">
        <v>59</v>
      </c>
      <c r="D12" t="s">
        <v>60</v>
      </c>
      <c r="E12" t="s">
        <v>11</v>
      </c>
      <c r="F12" t="str">
        <f>VLOOKUP(E12,City_Tier_Master!$A$4:$E$18,2,FALSE())</f>
        <v>Tier 1</v>
      </c>
      <c r="G12" t="s">
        <v>44</v>
      </c>
      <c r="H12" s="4">
        <v>46200</v>
      </c>
      <c r="I12">
        <v>4</v>
      </c>
      <c r="J12" s="3">
        <v>4000</v>
      </c>
      <c r="K12" s="3">
        <f>IF(G12="Hotel",VLOOKUP(E12,City_Tier_Master!$A$4:$E$18,3,FALSE()),IF(G12="Food",VLOOKUP(E12,City_Tier_Master!$A$4:$E$18,4,FALSE()),VLOOKUP(E12,City_Tier_Master!$A$4:$E$18,5,FALSE())))</f>
        <v>1100</v>
      </c>
      <c r="L12" s="3">
        <f t="shared" si="0"/>
        <v>4400</v>
      </c>
      <c r="M12" t="str">
        <f t="shared" si="1"/>
        <v>Within Limit</v>
      </c>
      <c r="N12" s="3">
        <f t="shared" si="2"/>
        <v>0</v>
      </c>
    </row>
    <row r="13" spans="1:14" x14ac:dyDescent="0.25">
      <c r="A13">
        <v>10</v>
      </c>
      <c r="B13" t="s">
        <v>61</v>
      </c>
      <c r="C13" t="s">
        <v>59</v>
      </c>
      <c r="D13" t="s">
        <v>60</v>
      </c>
      <c r="E13" t="s">
        <v>11</v>
      </c>
      <c r="F13" t="str">
        <f>VLOOKUP(E13,City_Tier_Master!$A$4:$E$18,2,FALSE())</f>
        <v>Tier 1</v>
      </c>
      <c r="G13" t="s">
        <v>42</v>
      </c>
      <c r="H13" s="4">
        <v>46200</v>
      </c>
      <c r="I13">
        <v>3</v>
      </c>
      <c r="J13" s="3">
        <v>12000</v>
      </c>
      <c r="K13" s="3">
        <f>IF(G13="Hotel",VLOOKUP(E13,City_Tier_Master!$A$4:$E$18,3,FALSE()),IF(G13="Food",VLOOKUP(E13,City_Tier_Master!$A$4:$E$18,4,FALSE()),VLOOKUP(E13,City_Tier_Master!$A$4:$E$18,5,FALSE())))</f>
        <v>4200</v>
      </c>
      <c r="L13" s="3">
        <f t="shared" si="0"/>
        <v>12600</v>
      </c>
      <c r="M13" t="str">
        <f t="shared" si="1"/>
        <v>Within Limit</v>
      </c>
      <c r="N13" s="3">
        <f t="shared" si="2"/>
        <v>0</v>
      </c>
    </row>
    <row r="14" spans="1:14" x14ac:dyDescent="0.25">
      <c r="A14">
        <v>11</v>
      </c>
      <c r="B14" t="s">
        <v>62</v>
      </c>
      <c r="C14" t="s">
        <v>63</v>
      </c>
      <c r="D14" t="s">
        <v>64</v>
      </c>
      <c r="E14" t="s">
        <v>17</v>
      </c>
      <c r="F14" t="str">
        <f>VLOOKUP(E14,City_Tier_Master!$A$4:$E$18,2,FALSE())</f>
        <v>Tier 2</v>
      </c>
      <c r="G14" t="s">
        <v>48</v>
      </c>
      <c r="H14" s="4">
        <v>46201</v>
      </c>
      <c r="I14">
        <v>3</v>
      </c>
      <c r="J14" s="3">
        <v>2000</v>
      </c>
      <c r="K14" s="3">
        <f>IF(G14="Hotel",VLOOKUP(E14,City_Tier_Master!$A$4:$E$18,3,FALSE()),IF(G14="Food",VLOOKUP(E14,City_Tier_Master!$A$4:$E$18,4,FALSE()),VLOOKUP(E14,City_Tier_Master!$A$4:$E$18,5,FALSE())))</f>
        <v>550</v>
      </c>
      <c r="L14" s="3">
        <f t="shared" si="0"/>
        <v>1650</v>
      </c>
      <c r="M14" t="str">
        <f t="shared" si="1"/>
        <v>Excess - Flagged</v>
      </c>
      <c r="N14" s="3">
        <f t="shared" si="2"/>
        <v>350</v>
      </c>
    </row>
    <row r="15" spans="1:14" x14ac:dyDescent="0.25">
      <c r="A15">
        <v>12</v>
      </c>
      <c r="B15" t="s">
        <v>65</v>
      </c>
      <c r="C15" t="s">
        <v>63</v>
      </c>
      <c r="D15" t="s">
        <v>64</v>
      </c>
      <c r="E15" t="s">
        <v>17</v>
      </c>
      <c r="F15" t="str">
        <f>VLOOKUP(E15,City_Tier_Master!$A$4:$E$18,2,FALSE())</f>
        <v>Tier 2</v>
      </c>
      <c r="G15" t="s">
        <v>44</v>
      </c>
      <c r="H15" s="4">
        <v>46201</v>
      </c>
      <c r="I15">
        <v>2</v>
      </c>
      <c r="J15" s="3">
        <v>1500</v>
      </c>
      <c r="K15" s="3">
        <f>IF(G15="Hotel",VLOOKUP(E15,City_Tier_Master!$A$4:$E$18,3,FALSE()),IF(G15="Food",VLOOKUP(E15,City_Tier_Master!$A$4:$E$18,4,FALSE()),VLOOKUP(E15,City_Tier_Master!$A$4:$E$18,5,FALSE())))</f>
        <v>850</v>
      </c>
      <c r="L15" s="3">
        <f t="shared" si="0"/>
        <v>1700</v>
      </c>
      <c r="M15" t="str">
        <f t="shared" si="1"/>
        <v>Within Limit</v>
      </c>
      <c r="N15" s="3">
        <f t="shared" si="2"/>
        <v>0</v>
      </c>
    </row>
    <row r="16" spans="1:14" x14ac:dyDescent="0.25">
      <c r="A16">
        <v>13</v>
      </c>
      <c r="B16" t="s">
        <v>66</v>
      </c>
      <c r="C16" t="s">
        <v>40</v>
      </c>
      <c r="D16" t="s">
        <v>41</v>
      </c>
      <c r="E16" t="s">
        <v>24</v>
      </c>
      <c r="F16" t="str">
        <f>VLOOKUP(E16,City_Tier_Master!$A$4:$E$18,2,FALSE())</f>
        <v>Tier 3</v>
      </c>
      <c r="G16" t="s">
        <v>42</v>
      </c>
      <c r="H16" s="4">
        <v>46204</v>
      </c>
      <c r="I16">
        <v>2</v>
      </c>
      <c r="J16" s="3">
        <v>4200</v>
      </c>
      <c r="K16" s="3">
        <f>IF(G16="Hotel",VLOOKUP(E16,City_Tier_Master!$A$4:$E$18,3,FALSE()),IF(G16="Food",VLOOKUP(E16,City_Tier_Master!$A$4:$E$18,4,FALSE()),VLOOKUP(E16,City_Tier_Master!$A$4:$E$18,5,FALSE())))</f>
        <v>1800</v>
      </c>
      <c r="L16" s="3">
        <f t="shared" si="0"/>
        <v>3600</v>
      </c>
      <c r="M16" t="str">
        <f t="shared" si="1"/>
        <v>Excess - Flagged</v>
      </c>
      <c r="N16" s="3">
        <f t="shared" si="2"/>
        <v>600</v>
      </c>
    </row>
    <row r="17" spans="1:14" x14ac:dyDescent="0.25">
      <c r="A17">
        <v>14</v>
      </c>
      <c r="B17" t="s">
        <v>67</v>
      </c>
      <c r="C17" t="s">
        <v>46</v>
      </c>
      <c r="D17" t="s">
        <v>47</v>
      </c>
      <c r="E17" t="s">
        <v>12</v>
      </c>
      <c r="F17" t="str">
        <f>VLOOKUP(E17,City_Tier_Master!$A$4:$E$18,2,FALSE())</f>
        <v>Tier 1</v>
      </c>
      <c r="G17" t="s">
        <v>44</v>
      </c>
      <c r="H17" s="4">
        <v>46205</v>
      </c>
      <c r="I17">
        <v>3</v>
      </c>
      <c r="J17" s="3">
        <v>3000</v>
      </c>
      <c r="K17" s="3">
        <f>IF(G17="Hotel",VLOOKUP(E17,City_Tier_Master!$A$4:$E$18,3,FALSE()),IF(G17="Food",VLOOKUP(E17,City_Tier_Master!$A$4:$E$18,4,FALSE()),VLOOKUP(E17,City_Tier_Master!$A$4:$E$18,5,FALSE())))</f>
        <v>1100</v>
      </c>
      <c r="L17" s="3">
        <f t="shared" si="0"/>
        <v>3300</v>
      </c>
      <c r="M17" t="str">
        <f t="shared" si="1"/>
        <v>Within Limit</v>
      </c>
      <c r="N17" s="3">
        <f t="shared" si="2"/>
        <v>0</v>
      </c>
    </row>
    <row r="18" spans="1:14" x14ac:dyDescent="0.25">
      <c r="A18">
        <v>15</v>
      </c>
      <c r="B18" t="s">
        <v>68</v>
      </c>
      <c r="C18" t="s">
        <v>51</v>
      </c>
      <c r="D18" t="s">
        <v>52</v>
      </c>
      <c r="E18" t="s">
        <v>19</v>
      </c>
      <c r="F18" t="str">
        <f>VLOOKUP(E18,City_Tier_Master!$A$4:$E$18,2,FALSE())</f>
        <v>Tier 2</v>
      </c>
      <c r="G18" t="s">
        <v>48</v>
      </c>
      <c r="H18" s="4">
        <v>46206</v>
      </c>
      <c r="I18">
        <v>4</v>
      </c>
      <c r="J18" s="3">
        <v>2000</v>
      </c>
      <c r="K18" s="3">
        <f>IF(G18="Hotel",VLOOKUP(E18,City_Tier_Master!$A$4:$E$18,3,FALSE()),IF(G18="Food",VLOOKUP(E18,City_Tier_Master!$A$4:$E$18,4,FALSE()),VLOOKUP(E18,City_Tier_Master!$A$4:$E$18,5,FALSE())))</f>
        <v>550</v>
      </c>
      <c r="L18" s="3">
        <f t="shared" si="0"/>
        <v>2200</v>
      </c>
      <c r="M18" t="str">
        <f t="shared" si="1"/>
        <v>Within Limit</v>
      </c>
      <c r="N18" s="3">
        <f t="shared" si="2"/>
        <v>0</v>
      </c>
    </row>
    <row r="19" spans="1:14" x14ac:dyDescent="0.25">
      <c r="A19">
        <v>16</v>
      </c>
      <c r="B19" t="s">
        <v>69</v>
      </c>
      <c r="C19" t="s">
        <v>55</v>
      </c>
      <c r="D19" t="s">
        <v>56</v>
      </c>
      <c r="E19" t="s">
        <v>13</v>
      </c>
      <c r="F19" t="str">
        <f>VLOOKUP(E19,City_Tier_Master!$A$4:$E$18,2,FALSE())</f>
        <v>Tier 1</v>
      </c>
      <c r="G19" t="s">
        <v>42</v>
      </c>
      <c r="H19" s="4">
        <v>46207</v>
      </c>
      <c r="I19">
        <v>2</v>
      </c>
      <c r="J19" s="3">
        <v>9000</v>
      </c>
      <c r="K19" s="3">
        <f>IF(G19="Hotel",VLOOKUP(E19,City_Tier_Master!$A$4:$E$18,3,FALSE()),IF(G19="Food",VLOOKUP(E19,City_Tier_Master!$A$4:$E$18,4,FALSE()),VLOOKUP(E19,City_Tier_Master!$A$4:$E$18,5,FALSE())))</f>
        <v>4000</v>
      </c>
      <c r="L19" s="3">
        <f t="shared" si="0"/>
        <v>8000</v>
      </c>
      <c r="M19" t="str">
        <f t="shared" si="1"/>
        <v>Excess - Flagged</v>
      </c>
      <c r="N19" s="3">
        <f t="shared" si="2"/>
        <v>1000</v>
      </c>
    </row>
  </sheetData>
  <mergeCells count="1">
    <mergeCell ref="A1:N2"/>
  </mergeCells>
  <conditionalFormatting sqref="M4:M19">
    <cfRule type="cellIs" dxfId="4" priority="2" operator="equal">
      <formula>"Within Limit"</formula>
    </cfRule>
    <cfRule type="cellIs" dxfId="3" priority="3" operator="equal">
      <formula>"Excess - Flagged"</formula>
    </cfRule>
  </conditionalFormatting>
  <conditionalFormatting sqref="N4:N19">
    <cfRule type="cellIs" dxfId="2" priority="4" operator="greaterThan">
      <formula>0</formula>
    </cfRule>
  </conditionalFormatting>
  <dataValidations count="1">
    <dataValidation type="list" errorTitle="Invalid Category" error="Choose Hotel, Food, or Local Conveyance" sqref="G4:G39" xr:uid="{00000000-0002-0000-0100-000001000000}">
      <formula1>"Hotel,Food,Local Conveyance"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valid City" error="Pick a valid city from City_Tier_Master" xr:uid="{00000000-0002-0000-0100-000000000000}">
          <x14:formula1>
            <xm:f>City_Tier_Master!$A$4:$A$18</xm:f>
          </x14:formula1>
          <x14:formula2>
            <xm:f>0</xm:f>
          </x14:formula2>
          <xm:sqref>E4:E39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20" customWidth="1"/>
    <col min="2" max="2" width="12" customWidth="1"/>
    <col min="3" max="3" width="15" customWidth="1"/>
    <col min="4" max="4" width="18" customWidth="1"/>
    <col min="5" max="5" width="20" customWidth="1"/>
  </cols>
  <sheetData>
    <row r="1" spans="1:5" ht="29.25" customHeight="1" x14ac:dyDescent="0.25">
      <c r="A1" s="11" t="s">
        <v>82</v>
      </c>
      <c r="B1" s="11"/>
      <c r="C1" s="11"/>
      <c r="D1" s="11"/>
      <c r="E1" s="11"/>
    </row>
    <row r="3" spans="1:5" ht="15.75" x14ac:dyDescent="0.25">
      <c r="A3" s="12" t="s">
        <v>70</v>
      </c>
      <c r="B3" s="12"/>
      <c r="C3" s="12"/>
      <c r="D3" s="12"/>
      <c r="E3" s="12"/>
    </row>
    <row r="4" spans="1:5" ht="30" x14ac:dyDescent="0.25">
      <c r="A4" s="2" t="s">
        <v>30</v>
      </c>
      <c r="B4" s="2" t="s">
        <v>71</v>
      </c>
      <c r="C4" s="2" t="s">
        <v>72</v>
      </c>
      <c r="D4" s="2" t="s">
        <v>73</v>
      </c>
      <c r="E4" s="2" t="s">
        <v>74</v>
      </c>
    </row>
    <row r="5" spans="1:5" x14ac:dyDescent="0.25">
      <c r="A5" t="s">
        <v>41</v>
      </c>
      <c r="B5">
        <f>COUNTIF(Expense_Claims!$D$4:$D$19,A5)</f>
        <v>3</v>
      </c>
      <c r="C5">
        <f>COUNTIFS(Expense_Claims!$D$4:$D$19,A5,Expense_Claims!$M$4:$M$19,"Excess - Flagged")</f>
        <v>2</v>
      </c>
      <c r="D5" s="3">
        <f>SUMIF(Expense_Claims!$D$4:$D$19,A5,Expense_Claims!$J$4:$J$19)</f>
        <v>16900</v>
      </c>
      <c r="E5" s="3">
        <f>SUMIF(Expense_Claims!$D$4:$D$19,A5,Expense_Claims!$N$4:$N$19)</f>
        <v>1200</v>
      </c>
    </row>
    <row r="6" spans="1:5" x14ac:dyDescent="0.25">
      <c r="A6" t="s">
        <v>47</v>
      </c>
      <c r="B6">
        <f>COUNTIF(Expense_Claims!$D$4:$D$19,A6)</f>
        <v>3</v>
      </c>
      <c r="C6">
        <f>COUNTIFS(Expense_Claims!$D$4:$D$19,A6,Expense_Claims!$M$4:$M$19,"Excess - Flagged")</f>
        <v>1</v>
      </c>
      <c r="D6" s="3">
        <f>SUMIF(Expense_Claims!$D$4:$D$19,A6,Expense_Claims!$J$4:$J$19)</f>
        <v>20900</v>
      </c>
      <c r="E6" s="3">
        <f>SUMIF(Expense_Claims!$D$4:$D$19,A6,Expense_Claims!$N$4:$N$19)</f>
        <v>1500</v>
      </c>
    </row>
    <row r="7" spans="1:5" x14ac:dyDescent="0.25">
      <c r="A7" t="s">
        <v>52</v>
      </c>
      <c r="B7">
        <f>COUNTIF(Expense_Claims!$D$4:$D$19,A7)</f>
        <v>3</v>
      </c>
      <c r="C7">
        <f>COUNTIFS(Expense_Claims!$D$4:$D$19,A7,Expense_Claims!$M$4:$M$19,"Excess - Flagged")</f>
        <v>1</v>
      </c>
      <c r="D7" s="3">
        <f>SUMIF(Expense_Claims!$D$4:$D$19,A7,Expense_Claims!$J$4:$J$19)</f>
        <v>13000</v>
      </c>
      <c r="E7" s="3">
        <f>SUMIF(Expense_Claims!$D$4:$D$19,A7,Expense_Claims!$N$4:$N$19)</f>
        <v>1000</v>
      </c>
    </row>
    <row r="8" spans="1:5" x14ac:dyDescent="0.25">
      <c r="A8" t="s">
        <v>56</v>
      </c>
      <c r="B8">
        <f>COUNTIF(Expense_Claims!$D$4:$D$19,A8)</f>
        <v>3</v>
      </c>
      <c r="C8">
        <f>COUNTIFS(Expense_Claims!$D$4:$D$19,A8,Expense_Claims!$M$4:$M$19,"Excess - Flagged")</f>
        <v>2</v>
      </c>
      <c r="D8" s="3">
        <f>SUMIF(Expense_Claims!$D$4:$D$19,A8,Expense_Claims!$J$4:$J$19)</f>
        <v>15200</v>
      </c>
      <c r="E8" s="3">
        <f>SUMIF(Expense_Claims!$D$4:$D$19,A8,Expense_Claims!$N$4:$N$19)</f>
        <v>2000</v>
      </c>
    </row>
    <row r="9" spans="1:5" x14ac:dyDescent="0.25">
      <c r="A9" t="s">
        <v>60</v>
      </c>
      <c r="B9">
        <f>COUNTIF(Expense_Claims!$D$4:$D$19,A9)</f>
        <v>2</v>
      </c>
      <c r="C9">
        <f>COUNTIFS(Expense_Claims!$D$4:$D$19,A9,Expense_Claims!$M$4:$M$19,"Excess - Flagged")</f>
        <v>0</v>
      </c>
      <c r="D9" s="3">
        <f>SUMIF(Expense_Claims!$D$4:$D$19,A9,Expense_Claims!$J$4:$J$19)</f>
        <v>16000</v>
      </c>
      <c r="E9" s="3">
        <f>SUMIF(Expense_Claims!$D$4:$D$19,A9,Expense_Claims!$N$4:$N$19)</f>
        <v>0</v>
      </c>
    </row>
    <row r="10" spans="1:5" x14ac:dyDescent="0.25">
      <c r="A10" t="s">
        <v>64</v>
      </c>
      <c r="B10">
        <f>COUNTIF(Expense_Claims!$D$4:$D$19,A10)</f>
        <v>2</v>
      </c>
      <c r="C10">
        <f>COUNTIFS(Expense_Claims!$D$4:$D$19,A10,Expense_Claims!$M$4:$M$19,"Excess - Flagged")</f>
        <v>1</v>
      </c>
      <c r="D10" s="3">
        <f>SUMIF(Expense_Claims!$D$4:$D$19,A10,Expense_Claims!$J$4:$J$19)</f>
        <v>3500</v>
      </c>
      <c r="E10" s="3">
        <f>SUMIF(Expense_Claims!$D$4:$D$19,A10,Expense_Claims!$N$4:$N$19)</f>
        <v>350</v>
      </c>
    </row>
    <row r="13" spans="1:5" ht="15.75" x14ac:dyDescent="0.25">
      <c r="A13" s="12" t="s">
        <v>75</v>
      </c>
      <c r="B13" s="12"/>
      <c r="C13" s="12"/>
      <c r="D13" s="12"/>
      <c r="E13" s="12"/>
    </row>
    <row r="14" spans="1:5" ht="30" x14ac:dyDescent="0.25">
      <c r="A14" s="2" t="s">
        <v>2</v>
      </c>
      <c r="B14" s="2" t="s">
        <v>3</v>
      </c>
      <c r="C14" s="2" t="s">
        <v>71</v>
      </c>
      <c r="D14" s="2" t="s">
        <v>73</v>
      </c>
      <c r="E14" s="2" t="s">
        <v>74</v>
      </c>
    </row>
    <row r="15" spans="1:5" x14ac:dyDescent="0.25">
      <c r="A15" t="s">
        <v>10</v>
      </c>
      <c r="B15" t="str">
        <f>VLOOKUP(A15,City_Tier_Master!$A$4:$E$18,2,FALSE())</f>
        <v>Tier 1</v>
      </c>
      <c r="C15">
        <f>COUNTIF(Expense_Claims!$E$4:$E$19,A15)</f>
        <v>2</v>
      </c>
      <c r="D15" s="3">
        <f>SUMIF(Expense_Claims!$E$4:$E$19,A15,Expense_Claims!$J$4:$J$19)</f>
        <v>17900</v>
      </c>
      <c r="E15" s="3">
        <f>SUMIF(Expense_Claims!$E$4:$E$19,A15,Expense_Claims!$N$4:$N$19)</f>
        <v>1500</v>
      </c>
    </row>
    <row r="16" spans="1:5" x14ac:dyDescent="0.25">
      <c r="A16" t="s">
        <v>20</v>
      </c>
      <c r="B16" t="str">
        <f>VLOOKUP(A16,City_Tier_Master!$A$4:$E$18,2,FALSE())</f>
        <v>Tier 3</v>
      </c>
      <c r="C16">
        <f>COUNTIF(Expense_Claims!$E$4:$E$19,A16)</f>
        <v>2</v>
      </c>
      <c r="D16" s="3">
        <f>SUMIF(Expense_Claims!$E$4:$E$19,A16,Expense_Claims!$J$4:$J$19)</f>
        <v>6200</v>
      </c>
      <c r="E16" s="3">
        <f>SUMIF(Expense_Claims!$E$4:$E$19,A16,Expense_Claims!$N$4:$N$19)</f>
        <v>1000</v>
      </c>
    </row>
    <row r="17" spans="1:5" x14ac:dyDescent="0.25">
      <c r="A17" t="s">
        <v>11</v>
      </c>
      <c r="B17" t="str">
        <f>VLOOKUP(A17,City_Tier_Master!$A$4:$E$18,2,FALSE())</f>
        <v>Tier 1</v>
      </c>
      <c r="C17">
        <f>COUNTIF(Expense_Claims!$E$4:$E$19,A17)</f>
        <v>2</v>
      </c>
      <c r="D17" s="3">
        <f>SUMIF(Expense_Claims!$E$4:$E$19,A17,Expense_Claims!$J$4:$J$19)</f>
        <v>16000</v>
      </c>
      <c r="E17" s="3">
        <f>SUMIF(Expense_Claims!$E$4:$E$19,A17,Expense_Claims!$N$4:$N$19)</f>
        <v>0</v>
      </c>
    </row>
    <row r="18" spans="1:5" x14ac:dyDescent="0.25">
      <c r="A18" t="s">
        <v>12</v>
      </c>
      <c r="B18" t="str">
        <f>VLOOKUP(A18,City_Tier_Master!$A$4:$E$18,2,FALSE())</f>
        <v>Tier 1</v>
      </c>
      <c r="C18">
        <f>COUNTIF(Expense_Claims!$E$4:$E$19,A18)</f>
        <v>1</v>
      </c>
      <c r="D18" s="3">
        <f>SUMIF(Expense_Claims!$E$4:$E$19,A18,Expense_Claims!$J$4:$J$19)</f>
        <v>3000</v>
      </c>
      <c r="E18" s="3">
        <f>SUMIF(Expense_Claims!$E$4:$E$19,A18,Expense_Claims!$N$4:$N$19)</f>
        <v>0</v>
      </c>
    </row>
    <row r="19" spans="1:5" x14ac:dyDescent="0.25">
      <c r="A19" t="s">
        <v>16</v>
      </c>
      <c r="B19" t="str">
        <f>VLOOKUP(A19,City_Tier_Master!$A$4:$E$18,2,FALSE())</f>
        <v>Tier 2</v>
      </c>
      <c r="C19">
        <f>COUNTIF(Expense_Claims!$E$4:$E$19,A19)</f>
        <v>2</v>
      </c>
      <c r="D19" s="3">
        <f>SUMIF(Expense_Claims!$E$4:$E$19,A19,Expense_Claims!$J$4:$J$19)</f>
        <v>11000</v>
      </c>
      <c r="E19" s="3">
        <f>SUMIF(Expense_Claims!$E$4:$E$19,A19,Expense_Claims!$N$4:$N$19)</f>
        <v>1000</v>
      </c>
    </row>
    <row r="20" spans="1:5" x14ac:dyDescent="0.25">
      <c r="A20" t="s">
        <v>19</v>
      </c>
      <c r="B20" t="str">
        <f>VLOOKUP(A20,City_Tier_Master!$A$4:$E$18,2,FALSE())</f>
        <v>Tier 2</v>
      </c>
      <c r="C20">
        <f>COUNTIF(Expense_Claims!$E$4:$E$19,A20)</f>
        <v>1</v>
      </c>
      <c r="D20" s="3">
        <f>SUMIF(Expense_Claims!$E$4:$E$19,A20,Expense_Claims!$J$4:$J$19)</f>
        <v>2000</v>
      </c>
      <c r="E20" s="3">
        <f>SUMIF(Expense_Claims!$E$4:$E$19,A20,Expense_Claims!$N$4:$N$19)</f>
        <v>0</v>
      </c>
    </row>
    <row r="21" spans="1:5" x14ac:dyDescent="0.25">
      <c r="A21" t="s">
        <v>17</v>
      </c>
      <c r="B21" t="str">
        <f>VLOOKUP(A21,City_Tier_Master!$A$4:$E$18,2,FALSE())</f>
        <v>Tier 2</v>
      </c>
      <c r="C21">
        <f>COUNTIF(Expense_Claims!$E$4:$E$19,A21)</f>
        <v>2</v>
      </c>
      <c r="D21" s="3">
        <f>SUMIF(Expense_Claims!$E$4:$E$19,A21,Expense_Claims!$J$4:$J$19)</f>
        <v>3500</v>
      </c>
      <c r="E21" s="3">
        <f>SUMIF(Expense_Claims!$E$4:$E$19,A21,Expense_Claims!$N$4:$N$19)</f>
        <v>350</v>
      </c>
    </row>
    <row r="22" spans="1:5" x14ac:dyDescent="0.25">
      <c r="A22" t="s">
        <v>7</v>
      </c>
      <c r="B22" t="str">
        <f>VLOOKUP(A22,City_Tier_Master!$A$4:$E$18,2,FALSE())</f>
        <v>Tier 1</v>
      </c>
      <c r="C22">
        <f>COUNTIF(Expense_Claims!$E$4:$E$19,A22)</f>
        <v>2</v>
      </c>
      <c r="D22" s="3">
        <f>SUMIF(Expense_Claims!$E$4:$E$19,A22,Expense_Claims!$J$4:$J$19)</f>
        <v>12700</v>
      </c>
      <c r="E22" s="3">
        <f>SUMIF(Expense_Claims!$E$4:$E$19,A22,Expense_Claims!$N$4:$N$19)</f>
        <v>600</v>
      </c>
    </row>
    <row r="23" spans="1:5" x14ac:dyDescent="0.25">
      <c r="A23" t="s">
        <v>13</v>
      </c>
      <c r="B23" t="str">
        <f>VLOOKUP(A23,City_Tier_Master!$A$4:$E$18,2,FALSE())</f>
        <v>Tier 1</v>
      </c>
      <c r="C23">
        <f>COUNTIF(Expense_Claims!$E$4:$E$19,A23)</f>
        <v>1</v>
      </c>
      <c r="D23" s="3">
        <f>SUMIF(Expense_Claims!$E$4:$E$19,A23,Expense_Claims!$J$4:$J$19)</f>
        <v>9000</v>
      </c>
      <c r="E23" s="3">
        <f>SUMIF(Expense_Claims!$E$4:$E$19,A23,Expense_Claims!$N$4:$N$19)</f>
        <v>1000</v>
      </c>
    </row>
    <row r="24" spans="1:5" x14ac:dyDescent="0.25">
      <c r="A24" t="s">
        <v>24</v>
      </c>
      <c r="B24" t="str">
        <f>VLOOKUP(A24,City_Tier_Master!$A$4:$E$18,2,FALSE())</f>
        <v>Tier 3</v>
      </c>
      <c r="C24">
        <f>COUNTIF(Expense_Claims!$E$4:$E$19,A24)</f>
        <v>1</v>
      </c>
      <c r="D24" s="3">
        <f>SUMIF(Expense_Claims!$E$4:$E$19,A24,Expense_Claims!$J$4:$J$19)</f>
        <v>4200</v>
      </c>
      <c r="E24" s="3">
        <f>SUMIF(Expense_Claims!$E$4:$E$19,A24,Expense_Claims!$N$4:$N$19)</f>
        <v>600</v>
      </c>
    </row>
    <row r="26" spans="1:5" x14ac:dyDescent="0.25">
      <c r="A26" s="15" t="s">
        <v>76</v>
      </c>
      <c r="B26" s="15"/>
      <c r="C26" s="15"/>
    </row>
    <row r="27" spans="1:5" ht="15.75" x14ac:dyDescent="0.25">
      <c r="A27" s="15"/>
      <c r="B27" s="15"/>
      <c r="C27" s="15"/>
      <c r="D27" s="1"/>
      <c r="E27" s="1"/>
    </row>
    <row r="28" spans="1:5" x14ac:dyDescent="0.25">
      <c r="A28" s="13" t="s">
        <v>77</v>
      </c>
      <c r="B28" s="14"/>
      <c r="C28" s="5">
        <f>COUNTA(Expense_Claims!$B$4:$B$19)</f>
        <v>16</v>
      </c>
    </row>
    <row r="29" spans="1:5" x14ac:dyDescent="0.25">
      <c r="A29" s="13" t="s">
        <v>78</v>
      </c>
      <c r="B29" s="14"/>
      <c r="C29" s="6">
        <f>SUM(Expense_Claims!$J$4:$J$19)</f>
        <v>85500</v>
      </c>
    </row>
    <row r="30" spans="1:5" x14ac:dyDescent="0.25">
      <c r="A30" s="13" t="s">
        <v>79</v>
      </c>
      <c r="B30" s="14"/>
      <c r="C30" s="5">
        <f>COUNTIF(Expense_Claims!$M$4:$M$19,"Excess - Flagged")</f>
        <v>7</v>
      </c>
    </row>
    <row r="31" spans="1:5" x14ac:dyDescent="0.25">
      <c r="A31" s="13" t="s">
        <v>81</v>
      </c>
      <c r="B31" s="13"/>
      <c r="C31" s="6">
        <f>SUM(Expense_Claims!$N$4:$N$19)</f>
        <v>6050</v>
      </c>
    </row>
    <row r="32" spans="1:5" x14ac:dyDescent="0.25">
      <c r="A32" s="13" t="s">
        <v>80</v>
      </c>
      <c r="B32" s="14"/>
      <c r="C32" s="7">
        <f>C30/C28</f>
        <v>0.4375</v>
      </c>
    </row>
  </sheetData>
  <mergeCells count="9">
    <mergeCell ref="A30:B30"/>
    <mergeCell ref="A31:B31"/>
    <mergeCell ref="A32:B32"/>
    <mergeCell ref="A26:C27"/>
    <mergeCell ref="A1:E1"/>
    <mergeCell ref="A3:E3"/>
    <mergeCell ref="A13:E13"/>
    <mergeCell ref="A28:B28"/>
    <mergeCell ref="A29:B29"/>
  </mergeCells>
  <conditionalFormatting sqref="E5:E10">
    <cfRule type="cellIs" dxfId="1" priority="2" operator="greaterThan">
      <formula>0</formula>
    </cfRule>
  </conditionalFormatting>
  <conditionalFormatting sqref="E15:E24"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City_Tier_Master</vt:lpstr>
      <vt:lpstr>Expense_Claims</vt:lpstr>
      <vt:lpstr>Reimbursement_Summary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Kumar</cp:lastModifiedBy>
  <cp:revision>0</cp:revision>
  <dcterms:created xsi:type="dcterms:W3CDTF">2026-07-10T04:32:48Z</dcterms:created>
  <dcterms:modified xsi:type="dcterms:W3CDTF">2026-07-10T06:01:13Z</dcterms:modified>
  <dc:language>en-US</dc:language>
</cp:coreProperties>
</file>